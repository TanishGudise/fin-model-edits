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IS" sheetId="2" state="visible" r:id="rId2"/>
    <sheet name="BS" sheetId="3" state="visible" r:id="rId3"/>
    <sheet name="CF" sheetId="4" state="visible" r:id="rId4"/>
    <sheet name="DC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model inputs</t>
        </is>
      </c>
    </row>
    <row r="2">
      <c r="A2" t="inlineStr">
        <is>
          <t>$ in millions unless noted; rates as decimals</t>
        </is>
      </c>
    </row>
    <row r="4">
      <c r="A4" t="inlineStr">
        <is>
          <t>Active case</t>
        </is>
      </c>
      <c r="C4" t="n">
        <v>1</v>
      </c>
      <c r="D4" t="inlineStr">
        <is>
          <t>1 = Base, 2 = Upside</t>
        </is>
      </c>
    </row>
    <row r="6">
      <c r="A6" t="inlineStr">
        <is>
          <t>Scenario drivers</t>
        </is>
      </c>
      <c r="F6" t="inlineStr">
        <is>
          <t>FY2026E</t>
        </is>
      </c>
      <c r="G6" t="inlineStr">
        <is>
          <t>FY2027E</t>
        </is>
      </c>
      <c r="H6" t="inlineStr">
        <is>
          <t>FY2028E</t>
        </is>
      </c>
      <c r="I6" t="inlineStr">
        <is>
          <t>FY2029E</t>
        </is>
      </c>
      <c r="J6" t="inlineStr">
        <is>
          <t>FY2030E</t>
        </is>
      </c>
    </row>
    <row r="7">
      <c r="A7" t="inlineStr">
        <is>
          <t>Revenue growth: Base</t>
        </is>
      </c>
      <c r="F7" t="n">
        <v>0.06</v>
      </c>
      <c r="G7" t="n">
        <v>0.055</v>
      </c>
      <c r="H7" t="n">
        <v>0.05</v>
      </c>
      <c r="I7" t="n">
        <v>0.045</v>
      </c>
      <c r="J7" t="n">
        <v>0.04</v>
      </c>
    </row>
    <row r="8">
      <c r="A8" t="inlineStr">
        <is>
          <t>Revenue growth: Upside</t>
        </is>
      </c>
      <c r="F8" t="n">
        <v>0.08</v>
      </c>
      <c r="G8" t="n">
        <v>0.075</v>
      </c>
      <c r="H8" t="n">
        <v>0.07000000000000001</v>
      </c>
      <c r="I8" t="n">
        <v>0.06</v>
      </c>
      <c r="J8" t="n">
        <v>0.05</v>
      </c>
    </row>
    <row r="10">
      <c r="A10" t="inlineStr">
        <is>
          <t>Revenue growth: active case</t>
        </is>
      </c>
      <c r="F10">
        <f>CHOOSE($C$4,F7,F8)</f>
        <v/>
      </c>
      <c r="G10">
        <f>CHOOSE($C$4,G7,G8)</f>
        <v/>
      </c>
      <c r="H10">
        <f>CHOOSE($C$4,H7,H8)</f>
        <v/>
      </c>
      <c r="I10">
        <f>CHOOSE($C$4,I7,I8)</f>
        <v/>
      </c>
      <c r="J10">
        <f>CHOOSE($C$4,J7,J8)</f>
        <v/>
      </c>
    </row>
    <row r="12">
      <c r="A12" t="inlineStr">
        <is>
          <t>Gross margin: Base</t>
        </is>
      </c>
      <c r="F12" t="n">
        <v>0.4</v>
      </c>
      <c r="G12" t="n">
        <v>0.402</v>
      </c>
      <c r="H12" t="n">
        <v>0.404</v>
      </c>
      <c r="I12" t="n">
        <v>0.405</v>
      </c>
      <c r="J12" t="n">
        <v>0.405</v>
      </c>
    </row>
    <row r="13">
      <c r="A13" t="inlineStr">
        <is>
          <t>Gross margin: Upside</t>
        </is>
      </c>
      <c r="F13" t="n">
        <v>0.405</v>
      </c>
      <c r="G13" t="n">
        <v>0.41</v>
      </c>
      <c r="H13" t="n">
        <v>0.415</v>
      </c>
      <c r="I13" t="n">
        <v>0.418</v>
      </c>
      <c r="J13" t="n">
        <v>0.42</v>
      </c>
    </row>
    <row r="15">
      <c r="A15" t="inlineStr">
        <is>
          <t>Gross margin: active case</t>
        </is>
      </c>
      <c r="F15">
        <f>CHOOSE($C$4,F12,F13)</f>
        <v/>
      </c>
      <c r="G15">
        <f>CHOOSE($C$4,G12,G13)</f>
        <v/>
      </c>
      <c r="H15">
        <f>CHOOSE($C$4,H12,H13)</f>
        <v/>
      </c>
      <c r="I15">
        <f>CHOOSE($C$4,I12,I13)</f>
        <v/>
      </c>
      <c r="J15">
        <f>CHOOSE($C$4,J12,J13)</f>
        <v/>
      </c>
    </row>
    <row r="17">
      <c r="A17" t="inlineStr">
        <is>
          <t>Operating drivers</t>
        </is>
      </c>
      <c r="F17" t="inlineStr">
        <is>
          <t>FY2026E</t>
        </is>
      </c>
      <c r="G17" t="inlineStr">
        <is>
          <t>FY2027E</t>
        </is>
      </c>
      <c r="H17" t="inlineStr">
        <is>
          <t>FY2028E</t>
        </is>
      </c>
      <c r="I17" t="inlineStr">
        <is>
          <t>FY2029E</t>
        </is>
      </c>
      <c r="J17" t="inlineStr">
        <is>
          <t>FY2030E</t>
        </is>
      </c>
    </row>
    <row r="18">
      <c r="A18" t="inlineStr">
        <is>
          <t>SG&amp;A, % of revenue</t>
        </is>
      </c>
      <c r="F18" t="n">
        <v>0.175</v>
      </c>
      <c r="G18" t="n">
        <v>0.175</v>
      </c>
      <c r="H18" t="n">
        <v>0.175</v>
      </c>
      <c r="I18" t="n">
        <v>0.175</v>
      </c>
      <c r="J18" t="n">
        <v>0.175</v>
      </c>
    </row>
    <row r="19">
      <c r="A19" t="inlineStr">
        <is>
          <t>R&amp;D, % of revenue</t>
        </is>
      </c>
      <c r="F19" t="n">
        <v>0.07000000000000001</v>
      </c>
      <c r="G19" t="n">
        <v>0.07000000000000001</v>
      </c>
      <c r="H19" t="n">
        <v>0.07000000000000001</v>
      </c>
      <c r="I19" t="n">
        <v>0.07000000000000001</v>
      </c>
      <c r="J19" t="n">
        <v>0.07000000000000001</v>
      </c>
    </row>
    <row r="20">
      <c r="A20" t="inlineStr">
        <is>
          <t>Stock-based compensation, % of revenue</t>
        </is>
      </c>
      <c r="F20" t="n">
        <v>0.015</v>
      </c>
      <c r="G20" t="n">
        <v>0.015</v>
      </c>
      <c r="H20" t="n">
        <v>0.015</v>
      </c>
      <c r="I20" t="n">
        <v>0.015</v>
      </c>
      <c r="J20" t="n">
        <v>0.015</v>
      </c>
    </row>
    <row r="21">
      <c r="A21" t="inlineStr">
        <is>
          <t>D&amp;A, % of revenue</t>
        </is>
      </c>
      <c r="F21" t="n">
        <v>0.04</v>
      </c>
      <c r="G21" t="n">
        <v>0.04</v>
      </c>
      <c r="H21" t="n">
        <v>0.04</v>
      </c>
      <c r="I21" t="n">
        <v>0.04</v>
      </c>
      <c r="J21" t="n">
        <v>0.04</v>
      </c>
    </row>
    <row r="22">
      <c r="A22" t="inlineStr">
        <is>
          <t>Capital expenditures, % of revenue</t>
        </is>
      </c>
      <c r="F22" t="n">
        <v>0.045</v>
      </c>
      <c r="G22" t="n">
        <v>0.045</v>
      </c>
      <c r="H22" t="n">
        <v>0.045</v>
      </c>
      <c r="I22" t="n">
        <v>0.045</v>
      </c>
      <c r="J22" t="n">
        <v>0.045</v>
      </c>
    </row>
    <row r="23">
      <c r="A23" t="inlineStr">
        <is>
          <t>Tax rate</t>
        </is>
      </c>
      <c r="C23" t="n">
        <v>0.25</v>
      </c>
    </row>
    <row r="24">
      <c r="A24" t="inlineStr">
        <is>
          <t>Interest rate on beginning-of-year debt</t>
        </is>
      </c>
      <c r="C24" t="n">
        <v>0.06</v>
      </c>
    </row>
    <row r="25">
      <c r="A25" t="inlineStr">
        <is>
          <t>Days sales outstanding (on revenue)</t>
        </is>
      </c>
      <c r="C25" t="n">
        <v>46</v>
      </c>
    </row>
    <row r="26">
      <c r="A26" t="inlineStr">
        <is>
          <t>Days inventory outstanding (on COGS)</t>
        </is>
      </c>
      <c r="C26" t="n">
        <v>90</v>
      </c>
    </row>
    <row r="27">
      <c r="A27" t="inlineStr">
        <is>
          <t>Days payables outstanding (on COGS)</t>
        </is>
      </c>
      <c r="C27" t="n">
        <v>50</v>
      </c>
    </row>
    <row r="28">
      <c r="A28" t="inlineStr">
        <is>
          <t>Mandatory debt repayment</t>
        </is>
      </c>
      <c r="F28" t="n">
        <v>20</v>
      </c>
      <c r="G28" t="n">
        <v>20</v>
      </c>
      <c r="H28" t="n">
        <v>20</v>
      </c>
      <c r="I28" t="n">
        <v>20</v>
      </c>
      <c r="J28" t="n">
        <v>20</v>
      </c>
    </row>
    <row r="30">
      <c r="A30" t="inlineStr">
        <is>
          <t>Valuation</t>
        </is>
      </c>
    </row>
    <row r="31">
      <c r="A31" t="inlineStr">
        <is>
          <t>WACC</t>
        </is>
      </c>
      <c r="C31" t="n">
        <v>0.09</v>
      </c>
    </row>
    <row r="32">
      <c r="A32" t="inlineStr">
        <is>
          <t>Terminal growth rate</t>
        </is>
      </c>
      <c r="C32" t="n">
        <v>0.025</v>
      </c>
    </row>
    <row r="33">
      <c r="A33" t="inlineStr">
        <is>
          <t>Diluted shares outstanding (millions)</t>
        </is>
      </c>
      <c r="C33" t="n">
        <v>52</v>
      </c>
    </row>
    <row r="34">
      <c r="A34" t="inlineStr">
        <is>
          <t>Valuation date</t>
        </is>
      </c>
      <c r="C34" t="inlineStr">
        <is>
          <t>End of FY2025A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income statement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C3" t="inlineStr">
        <is>
          <t>FY2023A</t>
        </is>
      </c>
      <c r="D3" t="inlineStr">
        <is>
          <t>FY2024A</t>
        </is>
      </c>
      <c r="E3" t="inlineStr">
        <is>
          <t>FY2025A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5">
      <c r="A5" t="inlineStr">
        <is>
          <t>Revenue</t>
        </is>
      </c>
      <c r="C5" t="n">
        <v>812</v>
      </c>
      <c r="D5" t="n">
        <v>873</v>
      </c>
      <c r="E5" t="n">
        <v>931</v>
      </c>
      <c r="F5">
        <f>E5*(1+Inputs!F10)</f>
        <v/>
      </c>
      <c r="G5">
        <f>F5*(1+Inputs!G10)</f>
        <v/>
      </c>
      <c r="H5">
        <f>G5*(1+Inputs!H10)</f>
        <v/>
      </c>
      <c r="I5">
        <f>H5*(1+Inputs!I10)</f>
        <v/>
      </c>
      <c r="J5">
        <f>I5*(1+Inputs!J10)</f>
        <v/>
      </c>
    </row>
    <row r="6">
      <c r="A6" t="inlineStr">
        <is>
          <t>Revenue growth</t>
        </is>
      </c>
      <c r="D6">
        <f>D5/C5-1</f>
        <v/>
      </c>
      <c r="E6">
        <f>E5/D5-1</f>
        <v/>
      </c>
      <c r="F6">
        <f>F5/E5-1</f>
        <v/>
      </c>
      <c r="G6">
        <f>G5/F5-1</f>
        <v/>
      </c>
      <c r="H6">
        <f>H5/G5-1</f>
        <v/>
      </c>
      <c r="I6">
        <f>I5/H5-1</f>
        <v/>
      </c>
      <c r="J6">
        <f>J5/I5-1</f>
        <v/>
      </c>
    </row>
    <row r="7">
      <c r="A7" t="inlineStr">
        <is>
          <t>Cost of goods sold</t>
        </is>
      </c>
      <c r="C7" t="n">
        <v>495.3</v>
      </c>
      <c r="D7" t="n">
        <v>528.2</v>
      </c>
      <c r="E7" t="n">
        <v>558.6</v>
      </c>
      <c r="F7">
        <f>F5*(1-Inputs!F15)</f>
        <v/>
      </c>
      <c r="G7">
        <f>G5*(1-Inputs!G15)</f>
        <v/>
      </c>
      <c r="H7">
        <f>H5*(1-Inputs!H15)</f>
        <v/>
      </c>
      <c r="I7">
        <f>I5*(1-Inputs!I15)</f>
        <v/>
      </c>
      <c r="J7">
        <f>J5*(1-Inputs!J15)</f>
        <v/>
      </c>
    </row>
    <row r="8">
      <c r="A8" t="inlineStr">
        <is>
          <t>Gross profit</t>
        </is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  <c r="H8">
        <f>H5-H7</f>
        <v/>
      </c>
      <c r="I8">
        <f>I5-I7</f>
        <v/>
      </c>
      <c r="J8">
        <f>J5-J7</f>
        <v/>
      </c>
    </row>
    <row r="9">
      <c r="A9" t="inlineStr">
        <is>
          <t>Gross margin</t>
        </is>
      </c>
      <c r="C9">
        <f>C8/C5</f>
        <v/>
      </c>
      <c r="D9">
        <f>D8/D5</f>
        <v/>
      </c>
      <c r="E9">
        <f>E8/E5</f>
        <v/>
      </c>
      <c r="F9">
        <f>F8/F5</f>
        <v/>
      </c>
      <c r="G9">
        <f>G8/G5</f>
        <v/>
      </c>
      <c r="H9">
        <f>H8/H5</f>
        <v/>
      </c>
      <c r="I9">
        <f>I8/I5</f>
        <v/>
      </c>
      <c r="J9">
        <f>J8/J5</f>
        <v/>
      </c>
    </row>
    <row r="11">
      <c r="A11" t="inlineStr">
        <is>
          <t>SG&amp;A</t>
        </is>
      </c>
      <c r="C11" t="n">
        <v>146.2</v>
      </c>
      <c r="D11" t="n">
        <v>155.4</v>
      </c>
      <c r="E11" t="n">
        <v>163</v>
      </c>
      <c r="F11">
        <f>F5*Inputs!F18</f>
        <v/>
      </c>
      <c r="G11">
        <f>G5*Inputs!G18</f>
        <v/>
      </c>
      <c r="H11">
        <f>H5*Inputs!H18</f>
        <v/>
      </c>
      <c r="I11">
        <f>I5*Inputs!I18</f>
        <v/>
      </c>
      <c r="J11">
        <f>J5*Inputs!J18</f>
        <v/>
      </c>
    </row>
    <row r="12">
      <c r="A12" t="inlineStr">
        <is>
          <t>R&amp;D</t>
        </is>
      </c>
      <c r="C12" t="n">
        <v>56.8</v>
      </c>
      <c r="D12" t="n">
        <v>61.1</v>
      </c>
      <c r="E12" t="n">
        <v>65.2</v>
      </c>
      <c r="F12">
        <f>F5*Inputs!F19</f>
        <v/>
      </c>
      <c r="G12">
        <f>G5*Inputs!G19</f>
        <v/>
      </c>
      <c r="H12">
        <f>H5*Inputs!H19</f>
        <v/>
      </c>
      <c r="I12">
        <f>I5*Inputs!I19</f>
        <v/>
      </c>
      <c r="J12">
        <f>J5*Inputs!J19</f>
        <v/>
      </c>
    </row>
    <row r="13">
      <c r="A13" t="inlineStr">
        <is>
          <t>Stock-based compensation</t>
        </is>
      </c>
      <c r="C13" t="n">
        <v>12.2</v>
      </c>
      <c r="D13" t="n">
        <v>13.1</v>
      </c>
      <c r="E13" t="n">
        <v>14</v>
      </c>
      <c r="F13">
        <f>F5*Inputs!F20</f>
        <v/>
      </c>
      <c r="G13">
        <f>G5*Inputs!G20</f>
        <v/>
      </c>
      <c r="H13">
        <f>H5*Inputs!H20</f>
        <v/>
      </c>
      <c r="I13">
        <f>I5*Inputs!I20</f>
        <v/>
      </c>
      <c r="J13">
        <f>J5*Inputs!J20</f>
        <v/>
      </c>
    </row>
    <row r="14">
      <c r="A14" t="inlineStr">
        <is>
          <t>Total operating expenses</t>
        </is>
      </c>
      <c r="C14">
        <f>SUM(C11:C12)</f>
        <v/>
      </c>
      <c r="D14">
        <f>SUM(D11:D12)</f>
        <v/>
      </c>
      <c r="E14">
        <f>SUM(E11:E12)</f>
        <v/>
      </c>
      <c r="F14">
        <f>SUM(F11:F12)</f>
        <v/>
      </c>
      <c r="G14">
        <f>SUM(G11:G12)</f>
        <v/>
      </c>
      <c r="H14">
        <f>SUM(H11:H12)</f>
        <v/>
      </c>
      <c r="I14">
        <f>SUM(I11:I12)</f>
        <v/>
      </c>
      <c r="J14">
        <f>SUM(J11:J12)</f>
        <v/>
      </c>
    </row>
    <row r="15">
      <c r="A15" t="inlineStr">
        <is>
          <t>EBITDA</t>
        </is>
      </c>
      <c r="C15">
        <f>C8-C14</f>
        <v/>
      </c>
      <c r="D15">
        <f>D8-D14</f>
        <v/>
      </c>
      <c r="E15">
        <f>E8-E14</f>
        <v/>
      </c>
      <c r="F15">
        <f>F8-F14</f>
        <v/>
      </c>
      <c r="G15">
        <f>G8-G14</f>
        <v/>
      </c>
      <c r="H15">
        <f>H8-H14</f>
        <v/>
      </c>
      <c r="I15">
        <f>I8-I14</f>
        <v/>
      </c>
      <c r="J15">
        <f>J8-J14</f>
        <v/>
      </c>
    </row>
    <row r="16">
      <c r="A16" t="inlineStr">
        <is>
          <t>EBITDA margin</t>
        </is>
      </c>
      <c r="C16">
        <f>C15/C5</f>
        <v/>
      </c>
      <c r="D16">
        <f>D15/D5</f>
        <v/>
      </c>
      <c r="E16">
        <f>E15/E5</f>
        <v/>
      </c>
      <c r="F16">
        <f>F15/F5</f>
        <v/>
      </c>
      <c r="G16">
        <f>G15/G5</f>
        <v/>
      </c>
      <c r="H16">
        <f>H15/H5</f>
        <v/>
      </c>
      <c r="I16">
        <f>I15/I5</f>
        <v/>
      </c>
      <c r="J16">
        <f>J15/J5</f>
        <v/>
      </c>
    </row>
    <row r="17">
      <c r="A17" t="inlineStr">
        <is>
          <t>Depreciation and amortization</t>
        </is>
      </c>
      <c r="C17" t="n">
        <v>32.5</v>
      </c>
      <c r="D17" t="n">
        <v>34.9</v>
      </c>
      <c r="E17" t="n">
        <v>37.2</v>
      </c>
      <c r="F17">
        <f>F5*Inputs!F21</f>
        <v/>
      </c>
      <c r="G17">
        <f>G5*Inputs!G21</f>
        <v/>
      </c>
      <c r="H17">
        <f>H5*Inputs!H21</f>
        <v/>
      </c>
      <c r="I17">
        <f>I5*Inputs!I21</f>
        <v/>
      </c>
      <c r="J17">
        <f>J5*Inputs!J21</f>
        <v/>
      </c>
    </row>
    <row r="18">
      <c r="A18" t="inlineStr">
        <is>
          <t>EBIT</t>
        </is>
      </c>
      <c r="C18">
        <f>C15-C17</f>
        <v/>
      </c>
      <c r="D18">
        <f>D15-D17</f>
        <v/>
      </c>
      <c r="E18">
        <f>E15-E17</f>
        <v/>
      </c>
      <c r="F18">
        <f>F15-F17</f>
        <v/>
      </c>
      <c r="G18">
        <f>G15-G17</f>
        <v/>
      </c>
      <c r="H18">
        <f>H15-H17</f>
        <v/>
      </c>
      <c r="I18">
        <f>I15-I17</f>
        <v/>
      </c>
      <c r="J18">
        <f>J15-J17</f>
        <v/>
      </c>
    </row>
    <row r="19">
      <c r="A19" t="inlineStr">
        <is>
          <t>Interest expense</t>
        </is>
      </c>
      <c r="C19" t="n">
        <v>18</v>
      </c>
      <c r="D19" t="n">
        <v>17.2</v>
      </c>
      <c r="E19" t="n">
        <v>16.4</v>
      </c>
      <c r="F19">
        <f>Inputs!$C$24*BS!E16</f>
        <v/>
      </c>
      <c r="G19">
        <f>Inputs!$C$24*BS!F16</f>
        <v/>
      </c>
      <c r="H19">
        <f>Inputs!$C$24*BS!G16</f>
        <v/>
      </c>
      <c r="I19">
        <f>Inputs!$C$24*BS!H16</f>
        <v/>
      </c>
      <c r="J19">
        <f>Inputs!$C$24*BS!I16</f>
        <v/>
      </c>
    </row>
    <row r="20">
      <c r="A20" t="inlineStr">
        <is>
          <t>Pre-tax income</t>
        </is>
      </c>
      <c r="C20">
        <f>C18-C19</f>
        <v/>
      </c>
      <c r="D20">
        <f>D18-D19</f>
        <v/>
      </c>
      <c r="E20">
        <f>E18-E19</f>
        <v/>
      </c>
      <c r="F20">
        <f>F18-F19</f>
        <v/>
      </c>
      <c r="G20">
        <f>G18-G19</f>
        <v/>
      </c>
      <c r="H20">
        <f>H18-H19</f>
        <v/>
      </c>
      <c r="I20">
        <f>I18-I19</f>
        <v/>
      </c>
      <c r="J20">
        <f>J18-J19</f>
        <v/>
      </c>
    </row>
    <row r="21">
      <c r="A21" t="inlineStr">
        <is>
          <t>Income tax expense</t>
        </is>
      </c>
      <c r="C21" t="n">
        <v>12.8</v>
      </c>
      <c r="D21" t="n">
        <v>15.8</v>
      </c>
      <c r="E21" t="n">
        <v>19.1</v>
      </c>
      <c r="F21">
        <f>F20*Inputs!$C$23</f>
        <v/>
      </c>
      <c r="G21">
        <f>G20*Inputs!$C$23</f>
        <v/>
      </c>
      <c r="H21">
        <f>H20*Inputs!$C$23</f>
        <v/>
      </c>
      <c r="I21">
        <f>I20*Inputs!$C$23</f>
        <v/>
      </c>
      <c r="J21">
        <f>J20*Inputs!$C$23</f>
        <v/>
      </c>
    </row>
    <row r="22">
      <c r="A22" t="inlineStr">
        <is>
          <t>Net income</t>
        </is>
      </c>
      <c r="C22">
        <f>C20-C21</f>
        <v/>
      </c>
      <c r="D22">
        <f>D20-D21</f>
        <v/>
      </c>
      <c r="E22">
        <f>E20-E21</f>
        <v/>
      </c>
      <c r="F22">
        <f>F20-F21</f>
        <v/>
      </c>
      <c r="G22">
        <f>G20-G21</f>
        <v/>
      </c>
      <c r="H22">
        <f>H20-H21</f>
        <v/>
      </c>
      <c r="I22">
        <f>I20-I21</f>
        <v/>
      </c>
      <c r="J22">
        <f>J20-J21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balance sheet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C3" t="inlineStr">
        <is>
          <t>FY2023A</t>
        </is>
      </c>
      <c r="D3" t="inlineStr">
        <is>
          <t>FY2024A</t>
        </is>
      </c>
      <c r="E3" t="inlineStr">
        <is>
          <t>FY2025A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4">
      <c r="A4" t="inlineStr">
        <is>
          <t>Assets</t>
        </is>
      </c>
    </row>
    <row r="5">
      <c r="A5" t="inlineStr">
        <is>
          <t>Cash</t>
        </is>
      </c>
      <c r="C5" t="n">
        <v>50.5</v>
      </c>
      <c r="D5" t="n">
        <v>77.59999999999999</v>
      </c>
      <c r="E5" t="n">
        <v>116.6</v>
      </c>
      <c r="F5">
        <f>CF!F22</f>
        <v/>
      </c>
      <c r="G5">
        <f>CF!G22</f>
        <v/>
      </c>
      <c r="H5">
        <f>CF!H22</f>
        <v/>
      </c>
      <c r="I5">
        <f>CF!I22</f>
        <v/>
      </c>
      <c r="J5">
        <f>CF!J22</f>
        <v/>
      </c>
    </row>
    <row r="6">
      <c r="A6" t="inlineStr">
        <is>
          <t>Accounts receivable</t>
        </is>
      </c>
      <c r="C6" t="n">
        <v>101.9</v>
      </c>
      <c r="D6" t="n">
        <v>109.5</v>
      </c>
      <c r="E6" t="n">
        <v>117</v>
      </c>
      <c r="F6">
        <f>IS!F5*Inputs!$C$25/365</f>
        <v/>
      </c>
      <c r="G6">
        <f>IS!G5*Inputs!$C$25/365</f>
        <v/>
      </c>
      <c r="H6">
        <f>IS!H5*Inputs!$C$25/365</f>
        <v/>
      </c>
      <c r="I6">
        <f>IS!I5*Inputs!$C$25/365</f>
        <v/>
      </c>
      <c r="J6">
        <f>IS!J5*Inputs!$C$25/365</f>
        <v/>
      </c>
    </row>
    <row r="7">
      <c r="A7" t="inlineStr">
        <is>
          <t>Inventory</t>
        </is>
      </c>
      <c r="C7" t="n">
        <v>124.5</v>
      </c>
      <c r="D7" t="n">
        <v>131.3</v>
      </c>
      <c r="E7" t="n">
        <v>137.7</v>
      </c>
      <c r="F7">
        <f>IS!F7*Inputs!$C$26/365</f>
        <v/>
      </c>
      <c r="G7">
        <f>IS!G7*Inputs!$C$26/365</f>
        <v/>
      </c>
      <c r="H7">
        <f>IS!H7*Inputs!$C$26/365</f>
        <v/>
      </c>
      <c r="I7">
        <f>IS!I7*Inputs!$C$26/365</f>
        <v/>
      </c>
      <c r="J7">
        <f>IS!J7*Inputs!$C$26/365</f>
        <v/>
      </c>
    </row>
    <row r="8">
      <c r="A8" t="inlineStr">
        <is>
          <t>Total current assets</t>
        </is>
      </c>
      <c r="C8">
        <f>SUM(C5:C7)</f>
        <v/>
      </c>
      <c r="D8">
        <f>SUM(D5:D7)</f>
        <v/>
      </c>
      <c r="E8">
        <f>SUM(E5:E7)</f>
        <v/>
      </c>
      <c r="F8">
        <f>SUM(F5:F7)</f>
        <v/>
      </c>
      <c r="G8">
        <f>SUM(G5:G7)</f>
        <v/>
      </c>
      <c r="H8">
        <f>SUM(H5:H7)</f>
        <v/>
      </c>
      <c r="I8">
        <f>SUM(I5:I7)</f>
        <v/>
      </c>
      <c r="J8">
        <f>SUM(J5:J7)</f>
        <v/>
      </c>
    </row>
    <row r="9">
      <c r="A9" t="inlineStr">
        <is>
          <t>PP&amp;E, net</t>
        </is>
      </c>
      <c r="C9" t="n">
        <v>291.4</v>
      </c>
      <c r="D9" t="n">
        <v>296</v>
      </c>
      <c r="E9" t="n">
        <v>300</v>
      </c>
      <c r="F9">
        <f>E9-CF!F14-IS!F17</f>
        <v/>
      </c>
      <c r="G9">
        <f>F9-CF!G14-IS!G17</f>
        <v/>
      </c>
      <c r="H9">
        <f>G9-CF!H14-IS!H17</f>
        <v/>
      </c>
      <c r="I9">
        <f>H9-CF!I14-IS!I17</f>
        <v/>
      </c>
      <c r="J9">
        <f>I9-CF!J14-IS!J17</f>
        <v/>
      </c>
    </row>
    <row r="10">
      <c r="A10" t="inlineStr">
        <is>
          <t>Goodwill</t>
        </is>
      </c>
      <c r="C10" t="n">
        <v>150</v>
      </c>
      <c r="D10" t="n">
        <v>150</v>
      </c>
      <c r="E10" t="n">
        <v>150</v>
      </c>
      <c r="F10">
        <f>E10</f>
        <v/>
      </c>
      <c r="G10">
        <f>F10</f>
        <v/>
      </c>
      <c r="H10">
        <f>G10</f>
        <v/>
      </c>
      <c r="I10">
        <f>H10</f>
        <v/>
      </c>
      <c r="J10">
        <f>I10</f>
        <v/>
      </c>
    </row>
    <row r="11">
      <c r="A11" t="inlineStr">
        <is>
          <t>Total assets</t>
        </is>
      </c>
      <c r="C11">
        <f>C8+C9+C10</f>
        <v/>
      </c>
      <c r="D11">
        <f>D8+D9+D10</f>
        <v/>
      </c>
      <c r="E11">
        <f>E8+E9+E10</f>
        <v/>
      </c>
      <c r="F11">
        <f>F8+F9+F10</f>
        <v/>
      </c>
      <c r="G11">
        <f>G8+G9+G10</f>
        <v/>
      </c>
      <c r="H11">
        <f>H8+H9+H10</f>
        <v/>
      </c>
      <c r="I11">
        <f>I8+I9+I10</f>
        <v/>
      </c>
      <c r="J11">
        <f>J8+J9+J10</f>
        <v/>
      </c>
    </row>
    <row r="12">
      <c r="A12" t="inlineStr">
        <is>
          <t>Liabilities and equity</t>
        </is>
      </c>
    </row>
    <row r="13">
      <c r="A13" t="inlineStr">
        <is>
          <t>Accounts payable</t>
        </is>
      </c>
      <c r="C13" t="n">
        <v>69.40000000000001</v>
      </c>
      <c r="D13" t="n">
        <v>73.09999999999999</v>
      </c>
      <c r="E13" t="n">
        <v>76.5</v>
      </c>
      <c r="F13">
        <f>IS!F7*Inputs!$C$27/365</f>
        <v/>
      </c>
      <c r="G13">
        <f>IS!G7*Inputs!$C$27/365</f>
        <v/>
      </c>
      <c r="H13">
        <f>IS!H7*Inputs!$C$27/365</f>
        <v/>
      </c>
      <c r="I13">
        <f>IS!I7*Inputs!$C$27/365</f>
        <v/>
      </c>
      <c r="J13">
        <f>IS!J7*Inputs!$C$27/365</f>
        <v/>
      </c>
    </row>
    <row r="14">
      <c r="A14" t="inlineStr">
        <is>
          <t>Accrued expenses</t>
        </is>
      </c>
      <c r="C14" t="n">
        <v>36</v>
      </c>
      <c r="D14" t="n">
        <v>38</v>
      </c>
      <c r="E14" t="n">
        <v>40</v>
      </c>
      <c r="F14">
        <f>E14</f>
        <v/>
      </c>
      <c r="G14">
        <f>F14</f>
        <v/>
      </c>
      <c r="H14">
        <f>G14</f>
        <v/>
      </c>
      <c r="I14">
        <f>H14</f>
        <v/>
      </c>
      <c r="J14">
        <f>I14</f>
        <v/>
      </c>
    </row>
    <row r="15">
      <c r="A15" t="inlineStr">
        <is>
          <t>Total current liabilities</t>
        </is>
      </c>
      <c r="C15">
        <f>SUM(C13:C14)</f>
        <v/>
      </c>
      <c r="D15">
        <f>SUM(D13:D14)</f>
        <v/>
      </c>
      <c r="E15">
        <f>SUM(E13:E14)</f>
        <v/>
      </c>
      <c r="F15">
        <f>SUM(F13:F14)</f>
        <v/>
      </c>
      <c r="G15">
        <f>SUM(G13:G14)</f>
        <v/>
      </c>
      <c r="H15">
        <f>SUM(H13:H14)</f>
        <v/>
      </c>
      <c r="I15">
        <f>SUM(I13:I14)</f>
        <v/>
      </c>
      <c r="J15">
        <f>SUM(J13:J14)</f>
        <v/>
      </c>
    </row>
    <row r="16">
      <c r="A16" t="inlineStr">
        <is>
          <t>Long-term debt</t>
        </is>
      </c>
      <c r="C16" t="n">
        <v>300</v>
      </c>
      <c r="D16" t="n">
        <v>280</v>
      </c>
      <c r="E16" t="n">
        <v>260</v>
      </c>
      <c r="F16">
        <f>E16+CF!F17</f>
        <v/>
      </c>
      <c r="G16">
        <f>F16+CF!G17</f>
        <v/>
      </c>
      <c r="H16">
        <f>G16+CF!H17</f>
        <v/>
      </c>
      <c r="I16">
        <f>H16+CF!I17</f>
        <v/>
      </c>
      <c r="J16">
        <f>I16+CF!J17</f>
        <v/>
      </c>
    </row>
    <row r="17">
      <c r="A17" t="inlineStr">
        <is>
          <t>Total liabilities</t>
        </is>
      </c>
      <c r="C17">
        <f>C15+C16</f>
        <v/>
      </c>
      <c r="D17">
        <f>D15+D16</f>
        <v/>
      </c>
      <c r="E17">
        <f>E15+E16</f>
        <v/>
      </c>
      <c r="F17">
        <f>F15+F16</f>
        <v/>
      </c>
      <c r="G17">
        <f>G15+G16</f>
        <v/>
      </c>
      <c r="H17">
        <f>H15+H16</f>
        <v/>
      </c>
      <c r="I17">
        <f>I15+I16</f>
        <v/>
      </c>
      <c r="J17">
        <f>J15+J16</f>
        <v/>
      </c>
    </row>
    <row r="18">
      <c r="A18" t="inlineStr">
        <is>
          <t>Common stock and APIC</t>
        </is>
      </c>
      <c r="C18" t="n">
        <v>152.9</v>
      </c>
      <c r="D18" t="n">
        <v>166</v>
      </c>
      <c r="E18" t="n">
        <v>180</v>
      </c>
      <c r="F18">
        <f>E18+IS!F13</f>
        <v/>
      </c>
      <c r="G18">
        <f>F18+IS!G13</f>
        <v/>
      </c>
      <c r="H18">
        <f>G18+IS!H13</f>
        <v/>
      </c>
      <c r="I18">
        <f>H18+IS!I13</f>
        <v/>
      </c>
      <c r="J18">
        <f>I18+IS!J13</f>
        <v/>
      </c>
    </row>
    <row r="19">
      <c r="A19" t="inlineStr">
        <is>
          <t>Retained earnings</t>
        </is>
      </c>
      <c r="C19" t="n">
        <v>160</v>
      </c>
      <c r="D19" t="n">
        <v>207.3</v>
      </c>
      <c r="E19" t="n">
        <v>264.8</v>
      </c>
      <c r="F19">
        <f>E19+IS!F22</f>
        <v/>
      </c>
      <c r="G19">
        <f>F19+IS!G22</f>
        <v/>
      </c>
      <c r="H19">
        <f>G19+IS!H22</f>
        <v/>
      </c>
      <c r="I19">
        <f>H19+IS!I22</f>
        <v/>
      </c>
      <c r="J19">
        <f>I19+IS!J22</f>
        <v/>
      </c>
    </row>
    <row r="20">
      <c r="A20" t="inlineStr">
        <is>
          <t>Total equity</t>
        </is>
      </c>
      <c r="C20">
        <f>C18+C19</f>
        <v/>
      </c>
      <c r="D20">
        <f>D18+D19</f>
        <v/>
      </c>
      <c r="E20">
        <f>E18+E19</f>
        <v/>
      </c>
      <c r="F20">
        <f>F18+F19</f>
        <v/>
      </c>
      <c r="G20">
        <f>G18+G19</f>
        <v/>
      </c>
      <c r="H20">
        <f>H18+H19</f>
        <v/>
      </c>
      <c r="I20">
        <f>I18+I19</f>
        <v/>
      </c>
      <c r="J20">
        <f>J18+J19</f>
        <v/>
      </c>
    </row>
    <row r="21">
      <c r="A21" t="inlineStr">
        <is>
          <t>Total liabilities and equity</t>
        </is>
      </c>
      <c r="C21">
        <f>C17+C20</f>
        <v/>
      </c>
      <c r="D21">
        <f>D17+D20</f>
        <v/>
      </c>
      <c r="E21">
        <f>E17+E20</f>
        <v/>
      </c>
      <c r="F21">
        <f>F17+F20</f>
        <v/>
      </c>
      <c r="G21">
        <f>G17+G20</f>
        <v/>
      </c>
      <c r="H21">
        <f>H17+H20</f>
        <v/>
      </c>
      <c r="I21">
        <f>I17+I20</f>
        <v/>
      </c>
      <c r="J21">
        <f>J17+J20</f>
        <v/>
      </c>
    </row>
    <row r="23">
      <c r="A23" t="inlineStr">
        <is>
          <t>Check: assets - liabilities - equity (should be 0)</t>
        </is>
      </c>
      <c r="C23">
        <f>C11-C21</f>
        <v/>
      </c>
      <c r="D23">
        <f>D11-D21</f>
        <v/>
      </c>
      <c r="E23">
        <f>E11-E21</f>
        <v/>
      </c>
      <c r="F23">
        <f>F11-F21</f>
        <v/>
      </c>
      <c r="G23">
        <f>G11-G21</f>
        <v/>
      </c>
      <c r="H23">
        <f>H11-H21</f>
        <v/>
      </c>
      <c r="I23">
        <f>I11-I21</f>
        <v/>
      </c>
      <c r="J23">
        <f>J11-J21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cash flow statement (forecast years)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5">
      <c r="A5" t="inlineStr">
        <is>
          <t>Net income</t>
        </is>
      </c>
      <c r="F5">
        <f>IS!F22</f>
        <v/>
      </c>
      <c r="G5">
        <f>IS!G22</f>
        <v/>
      </c>
      <c r="H5">
        <f>IS!H22</f>
        <v/>
      </c>
      <c r="I5">
        <f>IS!I22</f>
        <v/>
      </c>
      <c r="J5">
        <f>IS!J22</f>
        <v/>
      </c>
    </row>
    <row r="6">
      <c r="A6" t="inlineStr">
        <is>
          <t>Depreciation and amortization</t>
        </is>
      </c>
      <c r="F6">
        <f>IS!F17</f>
        <v/>
      </c>
      <c r="G6">
        <f>IS!G17</f>
        <v/>
      </c>
      <c r="H6">
        <f>IS!H17</f>
        <v/>
      </c>
      <c r="I6">
        <f>IS!I17</f>
        <v/>
      </c>
      <c r="J6">
        <f>IS!J17</f>
        <v/>
      </c>
    </row>
    <row r="7">
      <c r="A7" t="inlineStr">
        <is>
          <t>Stock-based compensation</t>
        </is>
      </c>
      <c r="F7">
        <f>IS!F13</f>
        <v/>
      </c>
      <c r="G7">
        <f>IS!G13</f>
        <v/>
      </c>
      <c r="H7">
        <f>IS!H13</f>
        <v/>
      </c>
      <c r="I7">
        <f>IS!I13</f>
        <v/>
      </c>
      <c r="J7">
        <f>IS!J13</f>
        <v/>
      </c>
    </row>
    <row r="8">
      <c r="A8" t="inlineStr">
        <is>
          <t>(Increase) / decrease in receivables</t>
        </is>
      </c>
      <c r="F8">
        <f>BS!E6-BS!F6</f>
        <v/>
      </c>
      <c r="G8">
        <f>BS!F6-BS!G6</f>
        <v/>
      </c>
      <c r="H8">
        <f>BS!G6-BS!H6</f>
        <v/>
      </c>
      <c r="I8">
        <f>BS!H6-BS!I6</f>
        <v/>
      </c>
      <c r="J8">
        <f>BS!I6-BS!J6</f>
        <v/>
      </c>
    </row>
    <row r="9">
      <c r="A9" t="inlineStr">
        <is>
          <t>(Increase) / decrease in inventory</t>
        </is>
      </c>
      <c r="F9">
        <f>BS!E7-BS!F7</f>
        <v/>
      </c>
      <c r="G9">
        <f>BS!F7-BS!G7</f>
        <v/>
      </c>
      <c r="H9">
        <f>BS!G7-BS!H7</f>
        <v/>
      </c>
      <c r="I9">
        <f>BS!H7-BS!I7</f>
        <v/>
      </c>
      <c r="J9">
        <f>BS!I7-BS!J7</f>
        <v/>
      </c>
    </row>
    <row r="10">
      <c r="A10" t="inlineStr">
        <is>
          <t>Increase / (decrease) in payables</t>
        </is>
      </c>
      <c r="F10">
        <f>BS!F13-BS!E13</f>
        <v/>
      </c>
      <c r="G10">
        <f>BS!G13-BS!F13</f>
        <v/>
      </c>
      <c r="H10">
        <f>BS!H13-BS!G13</f>
        <v/>
      </c>
      <c r="I10">
        <f>BS!I13-BS!H13</f>
        <v/>
      </c>
      <c r="J10">
        <f>BS!J13-BS!I13</f>
        <v/>
      </c>
    </row>
    <row r="11">
      <c r="A11" t="inlineStr">
        <is>
          <t>Increase / (decrease) in accrued expenses</t>
        </is>
      </c>
      <c r="F11">
        <f>BS!F14-BS!E14</f>
        <v/>
      </c>
      <c r="G11">
        <f>BS!G14-BS!F14</f>
        <v/>
      </c>
      <c r="H11">
        <f>BS!H14-BS!G14</f>
        <v/>
      </c>
      <c r="I11">
        <f>BS!I14-BS!H14</f>
        <v/>
      </c>
      <c r="J11">
        <f>BS!J14-BS!I14</f>
        <v/>
      </c>
    </row>
    <row r="12">
      <c r="A12" t="inlineStr">
        <is>
          <t>Cash from operating activities</t>
        </is>
      </c>
      <c r="F12">
        <f>SUM(F5:F11)</f>
        <v/>
      </c>
      <c r="G12">
        <f>SUM(G5:G11)</f>
        <v/>
      </c>
      <c r="H12">
        <f>SUM(H5:H11)</f>
        <v/>
      </c>
      <c r="I12">
        <f>SUM(I5:I11)</f>
        <v/>
      </c>
      <c r="J12">
        <f>SUM(J5:J11)</f>
        <v/>
      </c>
    </row>
    <row r="14">
      <c r="A14" t="inlineStr">
        <is>
          <t>Capital expenditures</t>
        </is>
      </c>
      <c r="F14">
        <f>-IS!F5*Inputs!F22</f>
        <v/>
      </c>
      <c r="G14">
        <f>-IS!G5*Inputs!G22</f>
        <v/>
      </c>
      <c r="H14">
        <f>-IS!H5*Inputs!H22</f>
        <v/>
      </c>
      <c r="I14">
        <f>-IS!I5*Inputs!I22</f>
        <v/>
      </c>
      <c r="J14">
        <f>-IS!J5*Inputs!J22</f>
        <v/>
      </c>
    </row>
    <row r="15">
      <c r="A15" t="inlineStr">
        <is>
          <t>Cash from investing activities</t>
        </is>
      </c>
      <c r="F15">
        <f>F14</f>
        <v/>
      </c>
      <c r="G15">
        <f>G14</f>
        <v/>
      </c>
      <c r="H15">
        <f>H14</f>
        <v/>
      </c>
      <c r="I15">
        <f>I14</f>
        <v/>
      </c>
      <c r="J15">
        <f>J14</f>
        <v/>
      </c>
    </row>
    <row r="17">
      <c r="A17" t="inlineStr">
        <is>
          <t>Debt repayment</t>
        </is>
      </c>
      <c r="F17">
        <f>-MIN(Inputs!F28,BS!E16)</f>
        <v/>
      </c>
      <c r="G17">
        <f>-MIN(Inputs!G28,BS!F16)</f>
        <v/>
      </c>
      <c r="H17">
        <f>-MIN(Inputs!H28,BS!G16)</f>
        <v/>
      </c>
      <c r="I17">
        <f>-MIN(Inputs!I28,BS!H16)</f>
        <v/>
      </c>
      <c r="J17">
        <f>-MIN(Inputs!J28,BS!I16)</f>
        <v/>
      </c>
    </row>
    <row r="18">
      <c r="A18" t="inlineStr">
        <is>
          <t>Cash from financing activities</t>
        </is>
      </c>
      <c r="F18">
        <f>F17</f>
        <v/>
      </c>
      <c r="G18">
        <f>G17</f>
        <v/>
      </c>
      <c r="H18">
        <f>H17</f>
        <v/>
      </c>
      <c r="I18">
        <f>I17</f>
        <v/>
      </c>
      <c r="J18">
        <f>J17</f>
        <v/>
      </c>
    </row>
    <row r="20">
      <c r="A20" t="inlineStr">
        <is>
          <t>Net change in cash</t>
        </is>
      </c>
      <c r="F20">
        <f>F12+F15+F18</f>
        <v/>
      </c>
      <c r="G20">
        <f>G12+G15+G18</f>
        <v/>
      </c>
      <c r="H20">
        <f>H12+H15+H18</f>
        <v/>
      </c>
      <c r="I20">
        <f>I12+I15+I18</f>
        <v/>
      </c>
      <c r="J20">
        <f>J12+J15+J18</f>
        <v/>
      </c>
    </row>
    <row r="21">
      <c r="A21" t="inlineStr">
        <is>
          <t>Beginning cash</t>
        </is>
      </c>
      <c r="F21">
        <f>BS!E5</f>
        <v/>
      </c>
      <c r="G21">
        <f>BS!F5</f>
        <v/>
      </c>
      <c r="H21">
        <f>BS!G5</f>
        <v/>
      </c>
      <c r="I21">
        <f>BS!H5</f>
        <v/>
      </c>
      <c r="J21">
        <f>BS!I5</f>
        <v/>
      </c>
    </row>
    <row r="22">
      <c r="A22" t="inlineStr">
        <is>
          <t>Ending cash</t>
        </is>
      </c>
      <c r="F22">
        <f>F21+F20</f>
        <v/>
      </c>
      <c r="G22">
        <f>G21+G20</f>
        <v/>
      </c>
      <c r="H22">
        <f>H21+H20</f>
        <v/>
      </c>
      <c r="I22">
        <f>I21+I20</f>
        <v/>
      </c>
      <c r="J22">
        <f>J21+J20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unlevered DCF (valuation date: end of FY2025A)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5">
      <c r="A5" t="inlineStr">
        <is>
          <t>EBIT</t>
        </is>
      </c>
      <c r="F5">
        <f>IS!F18</f>
        <v/>
      </c>
      <c r="G5">
        <f>IS!G18</f>
        <v/>
      </c>
      <c r="H5">
        <f>IS!H18</f>
        <v/>
      </c>
      <c r="I5">
        <f>IS!I18</f>
        <v/>
      </c>
      <c r="J5">
        <f>IS!J18</f>
        <v/>
      </c>
    </row>
    <row r="6">
      <c r="A6" t="inlineStr">
        <is>
          <t>Tax on EBIT</t>
        </is>
      </c>
      <c r="F6">
        <f>-F5*Inputs!$C$23</f>
        <v/>
      </c>
      <c r="G6">
        <f>-G5*Inputs!$C$23</f>
        <v/>
      </c>
      <c r="H6">
        <f>-H5*Inputs!$C$23</f>
        <v/>
      </c>
      <c r="I6">
        <f>-I5*Inputs!$C$23</f>
        <v/>
      </c>
      <c r="J6">
        <f>-J5*Inputs!$C$23</f>
        <v/>
      </c>
    </row>
    <row r="7">
      <c r="A7" t="inlineStr">
        <is>
          <t>NOPAT</t>
        </is>
      </c>
      <c r="F7">
        <f>F5+F6</f>
        <v/>
      </c>
      <c r="G7">
        <f>G5+G6</f>
        <v/>
      </c>
      <c r="H7">
        <f>H5+H6</f>
        <v/>
      </c>
      <c r="I7">
        <f>I5+I6</f>
        <v/>
      </c>
      <c r="J7">
        <f>J5+J6</f>
        <v/>
      </c>
    </row>
    <row r="8">
      <c r="A8" t="inlineStr">
        <is>
          <t>Depreciation and amortization</t>
        </is>
      </c>
      <c r="F8">
        <f>IS!F17</f>
        <v/>
      </c>
      <c r="G8">
        <f>IS!G17</f>
        <v/>
      </c>
      <c r="H8">
        <f>IS!H17</f>
        <v/>
      </c>
      <c r="I8">
        <f>IS!I17</f>
        <v/>
      </c>
      <c r="J8">
        <f>IS!J17</f>
        <v/>
      </c>
    </row>
    <row r="9">
      <c r="A9" t="inlineStr">
        <is>
          <t>Capital expenditures</t>
        </is>
      </c>
      <c r="F9">
        <f>CF!F14</f>
        <v/>
      </c>
      <c r="G9">
        <f>CF!G14</f>
        <v/>
      </c>
      <c r="H9">
        <f>CF!H14</f>
        <v/>
      </c>
      <c r="I9">
        <f>CF!I14</f>
        <v/>
      </c>
      <c r="J9">
        <f>CF!J14</f>
        <v/>
      </c>
    </row>
    <row r="10">
      <c r="A10" t="inlineStr">
        <is>
          <t>Change in net working capital</t>
        </is>
      </c>
      <c r="F10">
        <f>SUM(CF!F8:F11)</f>
        <v/>
      </c>
      <c r="G10">
        <f>SUM(CF!G8:G11)</f>
        <v/>
      </c>
      <c r="H10">
        <f>SUM(CF!H8:H11)</f>
        <v/>
      </c>
      <c r="I10">
        <f>SUM(CF!I8:I11)</f>
        <v/>
      </c>
      <c r="J10">
        <f>SUM(CF!J8:J11)</f>
        <v/>
      </c>
    </row>
    <row r="11">
      <c r="A11" t="inlineStr">
        <is>
          <t>Unlevered free cash flow</t>
        </is>
      </c>
      <c r="F11">
        <f>F7+F8+F9+F10</f>
        <v/>
      </c>
      <c r="G11">
        <f>G7+G8+G9+G10</f>
        <v/>
      </c>
      <c r="H11">
        <f>H7+H8+H9+H10</f>
        <v/>
      </c>
      <c r="I11">
        <f>I7+I8+I9+I10</f>
        <v/>
      </c>
      <c r="J11">
        <f>J7+J8+J9+J10</f>
        <v/>
      </c>
    </row>
    <row r="13">
      <c r="A13" t="inlineStr">
        <is>
          <t>Discount period (years from valuation date)</t>
        </is>
      </c>
      <c r="F13" t="n">
        <v>1</v>
      </c>
      <c r="G13">
        <f>F13+1</f>
        <v/>
      </c>
      <c r="H13">
        <f>G13+1</f>
        <v/>
      </c>
      <c r="I13">
        <f>H13+1</f>
        <v/>
      </c>
      <c r="J13">
        <f>I13+1</f>
        <v/>
      </c>
    </row>
    <row r="14">
      <c r="A14" t="inlineStr">
        <is>
          <t>Discount factor</t>
        </is>
      </c>
      <c r="F14">
        <f>1/(1+Inputs!$C$31)^F13</f>
        <v/>
      </c>
      <c r="G14">
        <f>1/(1+Inputs!$C$31)^G13</f>
        <v/>
      </c>
      <c r="H14">
        <f>1/(1+Inputs!$C$31)^H13</f>
        <v/>
      </c>
      <c r="I14">
        <f>1/(1+Inputs!$C$31)^I13</f>
        <v/>
      </c>
      <c r="J14">
        <f>1/(1+Inputs!$C$31)^J13</f>
        <v/>
      </c>
    </row>
    <row r="15">
      <c r="A15" t="inlineStr">
        <is>
          <t>PV of unlevered free cash flow</t>
        </is>
      </c>
      <c r="F15">
        <f>F11*F14</f>
        <v/>
      </c>
      <c r="G15">
        <f>G11*G14</f>
        <v/>
      </c>
      <c r="H15">
        <f>H11*H14</f>
        <v/>
      </c>
      <c r="I15">
        <f>I11*I14</f>
        <v/>
      </c>
      <c r="J15">
        <f>J11*J14</f>
        <v/>
      </c>
    </row>
    <row r="17">
      <c r="A17" t="inlineStr">
        <is>
          <t>Sum of PV of unlevered free cash flow</t>
        </is>
      </c>
      <c r="C17">
        <f>SUM(F15:J15)</f>
        <v/>
      </c>
    </row>
    <row r="18">
      <c r="A18" t="inlineStr">
        <is>
          <t>Terminal value at end of FY2030E (Gordon growth)</t>
        </is>
      </c>
      <c r="C18">
        <f>J11*(1+Inputs!$C$32)/(Inputs!$C$31-Inputs!$C$32)</f>
        <v/>
      </c>
    </row>
    <row r="19">
      <c r="A19" t="inlineStr">
        <is>
          <t>PV of terminal value</t>
        </is>
      </c>
      <c r="C19">
        <f>C18*J14</f>
        <v/>
      </c>
    </row>
    <row r="20">
      <c r="A20" t="inlineStr">
        <is>
          <t>Enterprise value</t>
        </is>
      </c>
      <c r="C20">
        <f>C17+C19</f>
        <v/>
      </c>
    </row>
    <row r="21">
      <c r="A21" t="inlineStr">
        <is>
          <t>Net debt at valuation date</t>
        </is>
      </c>
      <c r="C21">
        <f>BS!E16-BS!E5</f>
        <v/>
      </c>
    </row>
    <row r="22">
      <c r="A22" t="inlineStr">
        <is>
          <t>Equity value</t>
        </is>
      </c>
      <c r="C22">
        <f>C20-C21</f>
        <v/>
      </c>
    </row>
    <row r="23">
      <c r="A23" t="inlineStr">
        <is>
          <t>Diluted shares (millions)</t>
        </is>
      </c>
      <c r="C23">
        <f>Inputs!$C$33</f>
        <v/>
      </c>
    </row>
    <row r="24">
      <c r="A24" t="inlineStr">
        <is>
          <t>Equity value per share ($)</t>
        </is>
      </c>
      <c r="C24">
        <f>C22/C23</f>
        <v/>
      </c>
    </row>
    <row r="25">
      <c r="A25" t="inlineStr">
        <is>
          <t>Terminal value, % of enterprise value</t>
        </is>
      </c>
      <c r="C25">
        <f>C19/C20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fin-model-edits</dc:creator>
  <dcterms:created xsi:type="dcterms:W3CDTF">2026-01-01T00:00:00Z</dcterms:created>
  <dcterms:modified xsi:type="dcterms:W3CDTF">2026-10-10T20:14:06Z</dcterms:modified>
</cp:coreProperties>
</file>